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D planning" sheetId="1" r:id="rId4"/>
  </sheets>
  <definedNames/>
  <calcPr/>
  <extLst>
    <ext uri="GoogleSheetsCustomDataVersion2">
      <go:sheetsCustomData xmlns:go="http://customooxmlschemas.google.com/" r:id="rId5" roundtripDataChecksum="2lnVbsRLfyBMQLApr7JBs9Dvum3N8sDbrCFXA2G5qcs="/>
    </ext>
  </extLst>
</workbook>
</file>

<file path=xl/sharedStrings.xml><?xml version="1.0" encoding="utf-8"?>
<sst xmlns="http://schemas.openxmlformats.org/spreadsheetml/2006/main" count="42" uniqueCount="27">
  <si>
    <t xml:space="preserve">Visa Threshold </t>
  </si>
  <si>
    <t>Visa Split</t>
  </si>
  <si>
    <t>MC Threshold</t>
  </si>
  <si>
    <t>MC Split</t>
  </si>
  <si>
    <t>MID Monthly Capacity (for high risk)</t>
  </si>
  <si>
    <t>Required MIDs (NO Protection)</t>
  </si>
  <si>
    <t>Scenario: No fraud/chargeback mitigation in place. Risk is managed solely by "diluting" transaction volume across multiple MIDs.</t>
  </si>
  <si>
    <t>Month</t>
  </si>
  <si>
    <t>Total Trans.</t>
  </si>
  <si>
    <t>Input Risk (F+CB)</t>
  </si>
  <si>
    <t>Visa Coeff. (at 0.3%)</t>
  </si>
  <si>
    <t>MC Coeff. (at 0.5%)</t>
  </si>
  <si>
    <t>Visa MIDs (60% vol)</t>
  </si>
  <si>
    <t>MC MIDs (40% vol)</t>
  </si>
  <si>
    <t>TOTAL MIDs</t>
  </si>
  <si>
    <t>M1</t>
  </si>
  <si>
    <t>M2</t>
  </si>
  <si>
    <t>M3</t>
  </si>
  <si>
    <t>M4</t>
  </si>
  <si>
    <t>M5</t>
  </si>
  <si>
    <t>M6</t>
  </si>
  <si>
    <t>M7</t>
  </si>
  <si>
    <t>M8</t>
  </si>
  <si>
    <t>Required MIDs WITH Preventive Protection</t>
  </si>
  <si>
    <t>Scenario: Fraud/CB prevention stack reduces the risk hitting the MID to 25% of the input risk</t>
  </si>
  <si>
    <t xml:space="preserve">MID Monthly Capacity </t>
  </si>
  <si>
    <t>Net Risk (Post-Protection)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</si>
</sst>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libri"/>
      <scheme val="minor"/>
    </font>
    <font>
      <sz val="11.0"/>
      <color rgb="FF000000"/>
      <name val="Calibri"/>
    </font>
    <font>
      <color theme="1"/>
      <name val="Calibri"/>
    </font>
    <font>
      <b/>
      <i/>
      <sz val="11.0"/>
      <color rgb="FF000000"/>
      <name val="Calibri"/>
    </font>
    <font>
      <color rgb="FF000000"/>
      <name val="Calibri"/>
    </font>
    <font>
      <b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6EE2FB"/>
        <bgColor rgb="FF6EE2FB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0" xfId="0" applyFont="1" applyNumberFormat="1"/>
    <xf borderId="0" fillId="0" fontId="2" numFmtId="0" xfId="0" applyFont="1"/>
    <xf borderId="0" fillId="0" fontId="3" numFmtId="0" xfId="0" applyFont="1"/>
    <xf borderId="0" fillId="2" fontId="4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3" xfId="0" applyAlignment="1" applyFont="1" applyNumberFormat="1">
      <alignment shrinkToFit="0" vertical="center" wrapText="1"/>
    </xf>
    <xf borderId="0" fillId="0" fontId="4" numFmtId="10" xfId="0" applyAlignment="1" applyFont="1" applyNumberFormat="1">
      <alignment shrinkToFit="0" vertical="center" wrapText="1"/>
    </xf>
    <xf borderId="0" fillId="0" fontId="4" numFmtId="1" xfId="0" applyAlignment="1" applyFont="1" applyNumberFormat="1">
      <alignment shrinkToFit="0" vertical="center" wrapText="1"/>
    </xf>
    <xf borderId="0" fillId="0" fontId="5" numFmtId="1" xfId="0" applyAlignment="1" applyFont="1" applyNumberFormat="1">
      <alignment shrinkToFit="0" vertical="center" wrapText="1"/>
    </xf>
    <xf borderId="0" fillId="0" fontId="5" numFmtId="0" xfId="0" applyFont="1"/>
    <xf borderId="0" fillId="0" fontId="4" numFmtId="0" xfId="0" applyFont="1"/>
    <xf borderId="0" fillId="2" fontId="4" numFmtId="0" xfId="0" applyAlignment="1" applyFill="1" applyFont="1">
      <alignment horizontal="center" shrinkToFit="0" wrapText="1"/>
    </xf>
    <xf borderId="0" fillId="0" fontId="4" numFmtId="3" xfId="0" applyFont="1" applyNumberFormat="1"/>
    <xf borderId="0" fillId="0" fontId="4" numFmtId="10" xfId="0" applyFont="1" applyNumberFormat="1"/>
    <xf borderId="0" fillId="0" fontId="4" numFmtId="1" xfId="0" applyFont="1" applyNumberFormat="1"/>
    <xf borderId="0" fillId="0" fontId="5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.43"/>
    <col customWidth="1" min="2" max="2" width="12.0"/>
    <col customWidth="1" min="3" max="3" width="16.14"/>
    <col customWidth="1" min="4" max="4" width="15.71"/>
    <col customWidth="1" min="5" max="5" width="16.14"/>
  </cols>
  <sheetData>
    <row r="1">
      <c r="A1" s="1" t="s">
        <v>0</v>
      </c>
      <c r="C1" s="2">
        <v>0.003</v>
      </c>
    </row>
    <row r="2">
      <c r="A2" s="1" t="s">
        <v>1</v>
      </c>
      <c r="C2" s="2">
        <v>0.6</v>
      </c>
    </row>
    <row r="3">
      <c r="A3" s="1" t="s">
        <v>2</v>
      </c>
      <c r="C3" s="2">
        <v>0.005</v>
      </c>
    </row>
    <row r="4">
      <c r="A4" s="1" t="s">
        <v>3</v>
      </c>
      <c r="C4" s="2">
        <v>0.4</v>
      </c>
    </row>
    <row r="5">
      <c r="A5" s="1" t="s">
        <v>4</v>
      </c>
      <c r="C5" s="3">
        <v>1000.0</v>
      </c>
    </row>
    <row r="6">
      <c r="A6" s="4"/>
    </row>
    <row r="7">
      <c r="A7" s="4" t="s">
        <v>5</v>
      </c>
    </row>
    <row r="8">
      <c r="A8" s="1" t="s">
        <v>6</v>
      </c>
    </row>
    <row r="9">
      <c r="A9" s="1"/>
    </row>
    <row r="10">
      <c r="A10" s="5" t="s">
        <v>7</v>
      </c>
      <c r="B10" s="5" t="s">
        <v>8</v>
      </c>
      <c r="C10" s="5" t="s">
        <v>9</v>
      </c>
      <c r="D10" s="5" t="s">
        <v>10</v>
      </c>
      <c r="E10" s="5" t="s">
        <v>11</v>
      </c>
      <c r="F10" s="5" t="s">
        <v>12</v>
      </c>
      <c r="G10" s="5" t="s">
        <v>13</v>
      </c>
      <c r="H10" s="5" t="s">
        <v>14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7" t="s">
        <v>15</v>
      </c>
      <c r="B11" s="8">
        <v>3000.0</v>
      </c>
      <c r="C11" s="9">
        <v>0.18</v>
      </c>
      <c r="D11" s="8">
        <f t="shared" ref="D11:D18" si="1">C11/$C$1</f>
        <v>60</v>
      </c>
      <c r="E11" s="8">
        <f t="shared" ref="E11:E18" si="2">C11/$C$3</f>
        <v>36</v>
      </c>
      <c r="F11" s="7">
        <f t="shared" ref="F11:F18" si="3">((B11*$C$2*C11)/$C$1)/$C$5</f>
        <v>108</v>
      </c>
      <c r="G11" s="10">
        <f t="shared" ref="G11:G18" si="4">((B11*$C$4*C11)/$C$3)/$C$5</f>
        <v>43.2</v>
      </c>
      <c r="H11" s="11">
        <f t="shared" ref="H11:H18" si="5">SUM(F11+G11)</f>
        <v>151.2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7" t="s">
        <v>16</v>
      </c>
      <c r="B12" s="8">
        <v>4000.0</v>
      </c>
      <c r="C12" s="9">
        <v>0.17</v>
      </c>
      <c r="D12" s="8">
        <f t="shared" si="1"/>
        <v>56.66666667</v>
      </c>
      <c r="E12" s="8">
        <f t="shared" si="2"/>
        <v>34</v>
      </c>
      <c r="F12" s="7">
        <f t="shared" si="3"/>
        <v>136</v>
      </c>
      <c r="G12" s="10">
        <f t="shared" si="4"/>
        <v>54.4</v>
      </c>
      <c r="H12" s="11">
        <f t="shared" si="5"/>
        <v>190.4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7" t="s">
        <v>17</v>
      </c>
      <c r="B13" s="8">
        <v>6000.0</v>
      </c>
      <c r="C13" s="9">
        <v>0.16</v>
      </c>
      <c r="D13" s="8">
        <f t="shared" si="1"/>
        <v>53.33333333</v>
      </c>
      <c r="E13" s="8">
        <f t="shared" si="2"/>
        <v>32</v>
      </c>
      <c r="F13" s="7">
        <f t="shared" si="3"/>
        <v>192</v>
      </c>
      <c r="G13" s="10">
        <f t="shared" si="4"/>
        <v>76.8</v>
      </c>
      <c r="H13" s="11">
        <f t="shared" si="5"/>
        <v>268.8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7" t="s">
        <v>18</v>
      </c>
      <c r="B14" s="8">
        <v>8000.0</v>
      </c>
      <c r="C14" s="9">
        <v>0.15</v>
      </c>
      <c r="D14" s="8">
        <f t="shared" si="1"/>
        <v>50</v>
      </c>
      <c r="E14" s="8">
        <f t="shared" si="2"/>
        <v>30</v>
      </c>
      <c r="F14" s="7">
        <f t="shared" si="3"/>
        <v>240</v>
      </c>
      <c r="G14" s="10">
        <f t="shared" si="4"/>
        <v>96</v>
      </c>
      <c r="H14" s="11">
        <f t="shared" si="5"/>
        <v>336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7" t="s">
        <v>19</v>
      </c>
      <c r="B15" s="8">
        <v>10000.0</v>
      </c>
      <c r="C15" s="9">
        <v>0.14</v>
      </c>
      <c r="D15" s="8">
        <f t="shared" si="1"/>
        <v>46.66666667</v>
      </c>
      <c r="E15" s="8">
        <f t="shared" si="2"/>
        <v>28</v>
      </c>
      <c r="F15" s="7">
        <f t="shared" si="3"/>
        <v>280</v>
      </c>
      <c r="G15" s="10">
        <f t="shared" si="4"/>
        <v>112</v>
      </c>
      <c r="H15" s="11">
        <f t="shared" si="5"/>
        <v>392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7" t="s">
        <v>20</v>
      </c>
      <c r="B16" s="8">
        <v>12000.0</v>
      </c>
      <c r="C16" s="9">
        <v>0.13</v>
      </c>
      <c r="D16" s="8">
        <f t="shared" si="1"/>
        <v>43.33333333</v>
      </c>
      <c r="E16" s="8">
        <f t="shared" si="2"/>
        <v>26</v>
      </c>
      <c r="F16" s="7">
        <f t="shared" si="3"/>
        <v>312</v>
      </c>
      <c r="G16" s="10">
        <f t="shared" si="4"/>
        <v>124.8</v>
      </c>
      <c r="H16" s="11">
        <f t="shared" si="5"/>
        <v>436.8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7" t="s">
        <v>21</v>
      </c>
      <c r="B17" s="8">
        <v>15000.0</v>
      </c>
      <c r="C17" s="9">
        <v>0.12</v>
      </c>
      <c r="D17" s="8">
        <f t="shared" si="1"/>
        <v>40</v>
      </c>
      <c r="E17" s="8">
        <f t="shared" si="2"/>
        <v>24</v>
      </c>
      <c r="F17" s="7">
        <f t="shared" si="3"/>
        <v>360</v>
      </c>
      <c r="G17" s="10">
        <f t="shared" si="4"/>
        <v>144</v>
      </c>
      <c r="H17" s="11">
        <f t="shared" si="5"/>
        <v>504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7" t="s">
        <v>22</v>
      </c>
      <c r="B18" s="8">
        <v>20000.0</v>
      </c>
      <c r="C18" s="9">
        <v>0.11</v>
      </c>
      <c r="D18" s="8">
        <f t="shared" si="1"/>
        <v>36.66666667</v>
      </c>
      <c r="E18" s="8">
        <f t="shared" si="2"/>
        <v>22</v>
      </c>
      <c r="F18" s="7">
        <f t="shared" si="3"/>
        <v>440</v>
      </c>
      <c r="G18" s="10">
        <f t="shared" si="4"/>
        <v>176</v>
      </c>
      <c r="H18" s="11">
        <f t="shared" si="5"/>
        <v>616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2"/>
    </row>
    <row r="20">
      <c r="A20" s="4" t="s">
        <v>23</v>
      </c>
    </row>
    <row r="21">
      <c r="A21" s="1" t="s">
        <v>24</v>
      </c>
    </row>
    <row r="22">
      <c r="A22" s="13" t="s">
        <v>25</v>
      </c>
      <c r="C22" s="3">
        <v>3000.0</v>
      </c>
    </row>
    <row r="23">
      <c r="A23" s="12"/>
    </row>
    <row r="24">
      <c r="A24" s="14" t="s">
        <v>7</v>
      </c>
      <c r="B24" s="14" t="s">
        <v>8</v>
      </c>
      <c r="C24" s="14" t="s">
        <v>26</v>
      </c>
      <c r="D24" s="5" t="s">
        <v>10</v>
      </c>
      <c r="E24" s="5" t="s">
        <v>11</v>
      </c>
      <c r="F24" s="5" t="s">
        <v>12</v>
      </c>
      <c r="G24" s="5" t="s">
        <v>13</v>
      </c>
      <c r="H24" s="14" t="s">
        <v>14</v>
      </c>
    </row>
    <row r="25">
      <c r="A25" s="13" t="s">
        <v>15</v>
      </c>
      <c r="B25" s="15">
        <v>3000.0</v>
      </c>
      <c r="C25" s="16">
        <v>0.045</v>
      </c>
      <c r="D25" s="15">
        <f t="shared" ref="D25:D32" si="6">C25/$C$1</f>
        <v>15</v>
      </c>
      <c r="E25" s="15">
        <f t="shared" ref="E25:E32" si="7">C25/$C$3</f>
        <v>9</v>
      </c>
      <c r="F25" s="17">
        <f t="shared" ref="F25:F32" si="8">((B25*$C$2*C25)/$C$1)/$C$22</f>
        <v>9</v>
      </c>
      <c r="G25" s="17">
        <f t="shared" ref="G25:G32" si="9">((B25*$C$4*C25)/$C$3)/$C$22</f>
        <v>3.6</v>
      </c>
      <c r="H25" s="18">
        <f t="shared" ref="H25:H32" si="10">F25+G25</f>
        <v>12.6</v>
      </c>
    </row>
    <row r="26">
      <c r="A26" s="13" t="s">
        <v>16</v>
      </c>
      <c r="B26" s="15">
        <v>4000.0</v>
      </c>
      <c r="C26" s="16">
        <v>0.0425</v>
      </c>
      <c r="D26" s="15">
        <f t="shared" si="6"/>
        <v>14.16666667</v>
      </c>
      <c r="E26" s="15">
        <f t="shared" si="7"/>
        <v>8.5</v>
      </c>
      <c r="F26" s="17">
        <f t="shared" si="8"/>
        <v>11.33333333</v>
      </c>
      <c r="G26" s="17">
        <f t="shared" si="9"/>
        <v>4.533333333</v>
      </c>
      <c r="H26" s="18">
        <f t="shared" si="10"/>
        <v>15.86666667</v>
      </c>
    </row>
    <row r="27">
      <c r="A27" s="13" t="s">
        <v>17</v>
      </c>
      <c r="B27" s="15">
        <v>6000.0</v>
      </c>
      <c r="C27" s="16">
        <v>0.04</v>
      </c>
      <c r="D27" s="15">
        <f t="shared" si="6"/>
        <v>13.33333333</v>
      </c>
      <c r="E27" s="15">
        <f t="shared" si="7"/>
        <v>8</v>
      </c>
      <c r="F27" s="17">
        <f t="shared" si="8"/>
        <v>16</v>
      </c>
      <c r="G27" s="17">
        <f t="shared" si="9"/>
        <v>6.4</v>
      </c>
      <c r="H27" s="18">
        <f t="shared" si="10"/>
        <v>22.4</v>
      </c>
    </row>
    <row r="28">
      <c r="A28" s="13" t="s">
        <v>18</v>
      </c>
      <c r="B28" s="15">
        <v>8000.0</v>
      </c>
      <c r="C28" s="16">
        <v>0.0375</v>
      </c>
      <c r="D28" s="15">
        <f t="shared" si="6"/>
        <v>12.5</v>
      </c>
      <c r="E28" s="15">
        <f t="shared" si="7"/>
        <v>7.5</v>
      </c>
      <c r="F28" s="17">
        <f t="shared" si="8"/>
        <v>20</v>
      </c>
      <c r="G28" s="17">
        <f t="shared" si="9"/>
        <v>8</v>
      </c>
      <c r="H28" s="18">
        <f t="shared" si="10"/>
        <v>28</v>
      </c>
    </row>
    <row r="29">
      <c r="A29" s="13" t="s">
        <v>19</v>
      </c>
      <c r="B29" s="15">
        <v>10000.0</v>
      </c>
      <c r="C29" s="16">
        <v>0.035</v>
      </c>
      <c r="D29" s="15">
        <f t="shared" si="6"/>
        <v>11.66666667</v>
      </c>
      <c r="E29" s="15">
        <f t="shared" si="7"/>
        <v>7</v>
      </c>
      <c r="F29" s="17">
        <f t="shared" si="8"/>
        <v>23.33333333</v>
      </c>
      <c r="G29" s="17">
        <f t="shared" si="9"/>
        <v>9.333333333</v>
      </c>
      <c r="H29" s="18">
        <f t="shared" si="10"/>
        <v>32.66666667</v>
      </c>
    </row>
    <row r="30">
      <c r="A30" s="13" t="s">
        <v>20</v>
      </c>
      <c r="B30" s="15">
        <v>12000.0</v>
      </c>
      <c r="C30" s="16">
        <v>0.0325</v>
      </c>
      <c r="D30" s="15">
        <f t="shared" si="6"/>
        <v>10.83333333</v>
      </c>
      <c r="E30" s="15">
        <f t="shared" si="7"/>
        <v>6.5</v>
      </c>
      <c r="F30" s="17">
        <f t="shared" si="8"/>
        <v>26</v>
      </c>
      <c r="G30" s="17">
        <f t="shared" si="9"/>
        <v>10.4</v>
      </c>
      <c r="H30" s="18">
        <f t="shared" si="10"/>
        <v>36.4</v>
      </c>
    </row>
    <row r="31">
      <c r="A31" s="13" t="s">
        <v>21</v>
      </c>
      <c r="B31" s="15">
        <v>15000.0</v>
      </c>
      <c r="C31" s="16">
        <v>0.03</v>
      </c>
      <c r="D31" s="15">
        <f t="shared" si="6"/>
        <v>10</v>
      </c>
      <c r="E31" s="15">
        <f t="shared" si="7"/>
        <v>6</v>
      </c>
      <c r="F31" s="17">
        <f t="shared" si="8"/>
        <v>30</v>
      </c>
      <c r="G31" s="17">
        <f t="shared" si="9"/>
        <v>12</v>
      </c>
      <c r="H31" s="18">
        <f t="shared" si="10"/>
        <v>42</v>
      </c>
    </row>
    <row r="32">
      <c r="A32" s="13" t="s">
        <v>22</v>
      </c>
      <c r="B32" s="15">
        <v>20000.0</v>
      </c>
      <c r="C32" s="16">
        <v>0.0275</v>
      </c>
      <c r="D32" s="15">
        <f t="shared" si="6"/>
        <v>9.166666667</v>
      </c>
      <c r="E32" s="15">
        <f t="shared" si="7"/>
        <v>5.5</v>
      </c>
      <c r="F32" s="17">
        <f t="shared" si="8"/>
        <v>36.66666667</v>
      </c>
      <c r="G32" s="17">
        <f t="shared" si="9"/>
        <v>14.66666667</v>
      </c>
      <c r="H32" s="18">
        <f t="shared" si="10"/>
        <v>51.33333333</v>
      </c>
    </row>
    <row r="33">
      <c r="A33" s="12"/>
    </row>
    <row r="34">
      <c r="A34" s="12"/>
    </row>
    <row r="35">
      <c r="A35" s="13"/>
    </row>
    <row r="36">
      <c r="A36" s="12"/>
    </row>
    <row r="37">
      <c r="A37" s="12"/>
    </row>
    <row r="38">
      <c r="A38" s="12"/>
    </row>
    <row r="39">
      <c r="A39" s="12"/>
    </row>
    <row r="40">
      <c r="A40" s="12"/>
    </row>
    <row r="41">
      <c r="A41" s="12"/>
    </row>
    <row r="42">
      <c r="A42" s="13"/>
    </row>
    <row r="43">
      <c r="A43" s="12"/>
    </row>
    <row r="44">
      <c r="A44" s="12"/>
    </row>
    <row r="45">
      <c r="A45" s="12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2022-01-18T09:35:35Z</dcterms:created>
  <dc:creator>SolidGate</dc:creator>
</cp:coreProperties>
</file>